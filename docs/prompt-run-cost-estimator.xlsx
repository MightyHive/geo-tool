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or" sheetId="1" state="visible" r:id="rId1"/>
    <sheet xmlns:r="http://schemas.openxmlformats.org/officeDocument/2006/relationships" name="Pricing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;&quot;-&quot;"/>
    <numFmt numFmtId="165" formatCode="$#,##0.0000;($#,##0.0000);&quot;-&quot;"/>
    <numFmt numFmtId="166" formatCode="#,##0;(#,##0);&quot;-&quot;"/>
    <numFmt numFmtId="167" formatCode="£#,##0.00;(£#,##0.00);&quot;-&quot;"/>
    <numFmt numFmtId="168" formatCode="0.0%;-0.0%;&quot;-&quot;"/>
  </numFmts>
  <fonts count="1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sz val="9"/>
    </font>
    <font>
      <name val="Arial"/>
      <b val="1"/>
    </font>
    <font>
      <name val="Arial"/>
      <color rgb="00595959"/>
      <sz val="9"/>
    </font>
    <font>
      <name val="Arial"/>
      <color rgb="00008000"/>
    </font>
    <font>
      <name val="Arial"/>
      <b val="1"/>
      <sz val="13"/>
    </font>
    <font>
      <name val="Arial"/>
      <sz val="10"/>
    </font>
    <font>
      <name val="Arial"/>
      <color rgb="000563C1"/>
      <u val="single"/>
    </font>
    <font>
      <name val="Arial"/>
      <color rgb="000563C1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14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166" fontId="5" fillId="3" borderId="1" pivotButton="0" quotePrefix="0" xfId="0"/>
    <xf numFmtId="0" fontId="8" fillId="0" borderId="0" pivotButton="0" quotePrefix="0" xfId="0"/>
    <xf numFmtId="0" fontId="14" fillId="0" borderId="1" pivotButton="0" quotePrefix="0" xfId="0"/>
    <xf numFmtId="4" fontId="4" fillId="0" borderId="1" pivotButton="0" quotePrefix="0" xfId="0"/>
    <xf numFmtId="0" fontId="5" fillId="3" borderId="1" pivotButton="0" quotePrefix="0" xfId="0"/>
    <xf numFmtId="4" fontId="5" fillId="0" borderId="1" pivotButton="0" quotePrefix="0" xfId="0"/>
    <xf numFmtId="2" fontId="5" fillId="3" borderId="1" pivotButton="0" quotePrefix="0" xfId="0"/>
    <xf numFmtId="4" fontId="7" fillId="0" borderId="0" pivotButton="0" quotePrefix="0" xfId="0"/>
    <xf numFmtId="0" fontId="3" fillId="2" borderId="1" applyAlignment="1" pivotButton="0" quotePrefix="0" xfId="0">
      <alignment vertical="center" wrapText="1"/>
    </xf>
    <xf numFmtId="0" fontId="9" fillId="0" borderId="1" pivotButton="0" quotePrefix="0" xfId="0"/>
    <xf numFmtId="165" fontId="9" fillId="0" borderId="1" pivotButton="0" quotePrefix="0" xfId="0"/>
    <xf numFmtId="166" fontId="14" fillId="0" borderId="1" pivotButton="0" quotePrefix="0" xfId="0"/>
    <xf numFmtId="164" fontId="14" fillId="0" borderId="1" pivotButton="0" quotePrefix="0" xfId="0"/>
    <xf numFmtId="167" fontId="14" fillId="0" borderId="1" pivotButton="0" quotePrefix="0" xfId="0"/>
    <xf numFmtId="168" fontId="14" fillId="0" borderId="1" pivotButton="0" quotePrefix="0" xfId="0"/>
    <xf numFmtId="0" fontId="7" fillId="4" borderId="1" pivotButton="0" quotePrefix="0" xfId="0"/>
    <xf numFmtId="0" fontId="14" fillId="4" borderId="1" pivotButton="0" quotePrefix="0" xfId="0"/>
    <xf numFmtId="166" fontId="7" fillId="4" borderId="1" pivotButton="0" quotePrefix="0" xfId="0"/>
    <xf numFmtId="164" fontId="7" fillId="4" borderId="1" pivotButton="0" quotePrefix="0" xfId="0"/>
    <xf numFmtId="167" fontId="7" fillId="4" borderId="1" pivotButton="0" quotePrefix="0" xfId="0"/>
    <xf numFmtId="168" fontId="7" fillId="4" borderId="1" pivotButton="0" quotePrefix="0" xfId="0"/>
    <xf numFmtId="164" fontId="10" fillId="0" borderId="0" pivotButton="0" quotePrefix="0" xfId="0"/>
    <xf numFmtId="167" fontId="10" fillId="0" borderId="0" pivotButton="0" quotePrefix="0" xfId="0"/>
    <xf numFmtId="164" fontId="14" fillId="0" borderId="0" pivotButton="0" quotePrefix="0" xfId="0"/>
    <xf numFmtId="167" fontId="14" fillId="0" borderId="0" pivotButton="0" quotePrefix="0" xfId="0"/>
    <xf numFmtId="4" fontId="14" fillId="0" borderId="1" pivotButton="0" quotePrefix="0" xfId="0"/>
    <xf numFmtId="0" fontId="11" fillId="0" borderId="0" pivotButton="0" quotePrefix="0" xfId="0"/>
    <xf numFmtId="0" fontId="4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165" fontId="4" fillId="0" borderId="1" pivotButton="0" quotePrefix="0" xfId="0"/>
    <xf numFmtId="0" fontId="6" fillId="0" borderId="1" applyAlignment="1" pivotButton="0" quotePrefix="0" xfId="0">
      <alignment vertical="top" wrapText="1"/>
    </xf>
    <xf numFmtId="0" fontId="9" fillId="3" borderId="1" pivotButton="0" quotePrefix="0" xfId="0"/>
    <xf numFmtId="165" fontId="9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5" customWidth="1" min="4" max="4"/>
    <col width="15" customWidth="1" min="5" max="5"/>
    <col width="16" customWidth="1" min="6" max="6"/>
    <col width="16" customWidth="1" min="7" max="7"/>
    <col width="13" customWidth="1" min="8" max="8"/>
  </cols>
  <sheetData>
    <row r="1">
      <c r="A1" s="1" t="inlineStr">
        <is>
          <t>Prompt-run monthly cost estimator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Edit the yellow cells. Everything else is calculated.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Inputs</t>
        </is>
      </c>
      <c r="B4" s="2" t="n"/>
      <c r="C4" s="2" t="n"/>
      <c r="D4" s="2" t="n"/>
      <c r="E4" s="4" t="inlineStr">
        <is>
          <t>Run cycles per month</t>
        </is>
      </c>
      <c r="F4" s="2" t="n"/>
      <c r="G4" s="2" t="n"/>
      <c r="H4" s="2" t="n"/>
    </row>
    <row r="5">
      <c r="A5" s="5" t="inlineStr">
        <is>
          <t>Number of prompts</t>
        </is>
      </c>
      <c r="B5" s="6" t="n">
        <v>50</v>
      </c>
      <c r="C5" s="7" t="inlineStr">
        <is>
          <t>How many prompts are tracked.</t>
        </is>
      </c>
      <c r="D5" s="2" t="n"/>
      <c r="E5" s="8" t="inlineStr">
        <is>
          <t>Daily</t>
        </is>
      </c>
      <c r="F5" s="9">
        <f>365/12</f>
        <v/>
      </c>
      <c r="G5" s="7" t="inlineStr">
        <is>
          <t>365 days ÷ 12 months</t>
        </is>
      </c>
      <c r="H5" s="2" t="n"/>
    </row>
    <row r="6">
      <c r="A6" s="5" t="inlineStr">
        <is>
          <t>Runs per prompt (per platform)</t>
        </is>
      </c>
      <c r="B6" s="6" t="n">
        <v>3</v>
      </c>
      <c r="C6" s="7" t="inlineStr">
        <is>
          <t>Tool default is 3 (range 1-5). Page-level audits use 1.</t>
        </is>
      </c>
      <c r="D6" s="2" t="n"/>
      <c r="E6" s="8" t="inlineStr">
        <is>
          <t>Weekly</t>
        </is>
      </c>
      <c r="F6" s="9">
        <f>52/12</f>
        <v/>
      </c>
      <c r="G6" s="7" t="inlineStr">
        <is>
          <t>52 weeks ÷ 12 months</t>
        </is>
      </c>
      <c r="H6" s="2" t="n"/>
    </row>
    <row r="7">
      <c r="A7" s="5" t="inlineStr">
        <is>
          <t>Run frequency</t>
        </is>
      </c>
      <c r="B7" s="10" t="inlineStr">
        <is>
          <t>Weekly</t>
        </is>
      </c>
      <c r="C7" s="7" t="inlineStr">
        <is>
          <t>Daily / Weekly / Monthly</t>
        </is>
      </c>
      <c r="D7" s="2" t="n"/>
      <c r="E7" s="8" t="inlineStr">
        <is>
          <t>Monthly</t>
        </is>
      </c>
      <c r="F7" s="11" t="n">
        <v>1</v>
      </c>
      <c r="G7" s="7" t="inlineStr">
        <is>
          <t>1 run cycle</t>
        </is>
      </c>
      <c r="H7" s="2" t="n"/>
    </row>
    <row r="8">
      <c r="A8" s="5" t="inlineStr">
        <is>
          <t>USD → GBP rate</t>
        </is>
      </c>
      <c r="B8" s="12" t="n">
        <v>0.75</v>
      </c>
      <c r="C8" s="7" t="inlineStr">
        <is>
          <t>Assumption — update to the current rate.</t>
        </is>
      </c>
      <c r="D8" s="2" t="n"/>
      <c r="E8" s="4" t="inlineStr">
        <is>
          <t>Selected</t>
        </is>
      </c>
      <c r="F8" s="13">
        <f>INDEX($F$5:$F$7,MATCH($B$7,$E$5:$E$7,0))</f>
        <v/>
      </c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4" t="inlineStr">
        <is>
          <t>Platforms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14" t="inlineStr">
        <is>
          <t>Platform</t>
        </is>
      </c>
      <c r="B12" s="14" t="inlineStr">
        <is>
          <t>Include? (Y/N)</t>
        </is>
      </c>
      <c r="C12" s="14" t="inlineStr">
        <is>
          <t>Cost per call ($)</t>
        </is>
      </c>
      <c r="D12" s="14" t="inlineStr">
        <is>
          <t>Calls per run cycle</t>
        </is>
      </c>
      <c r="E12" s="14" t="inlineStr">
        <is>
          <t>Calls per month</t>
        </is>
      </c>
      <c r="F12" s="14" t="inlineStr">
        <is>
          <t>Monthly cost ($)</t>
        </is>
      </c>
      <c r="G12" s="14" t="inlineStr">
        <is>
          <t>Monthly cost (£)</t>
        </is>
      </c>
      <c r="H12" s="14" t="inlineStr">
        <is>
          <t>Share of total</t>
        </is>
      </c>
    </row>
    <row r="13">
      <c r="A13" s="15">
        <f>Pricing!A5</f>
        <v/>
      </c>
      <c r="B13" s="10" t="inlineStr">
        <is>
          <t>Y</t>
        </is>
      </c>
      <c r="C13" s="16">
        <f>Pricing!I5</f>
        <v/>
      </c>
      <c r="D13" s="17">
        <f>IF(B13="Y",$B$5*$B$6,0)</f>
        <v/>
      </c>
      <c r="E13" s="17">
        <f>D13*$F$8</f>
        <v/>
      </c>
      <c r="F13" s="18">
        <f>E13*C13</f>
        <v/>
      </c>
      <c r="G13" s="19">
        <f>F13*$B$8</f>
        <v/>
      </c>
      <c r="H13" s="20">
        <f>IF($F$19=0,0,F13/$F$19)</f>
        <v/>
      </c>
    </row>
    <row r="14">
      <c r="A14" s="15">
        <f>Pricing!A6</f>
        <v/>
      </c>
      <c r="B14" s="10" t="inlineStr">
        <is>
          <t>Y</t>
        </is>
      </c>
      <c r="C14" s="16">
        <f>Pricing!I6</f>
        <v/>
      </c>
      <c r="D14" s="17">
        <f>IF(B14="Y",$B$5*$B$6,0)</f>
        <v/>
      </c>
      <c r="E14" s="17">
        <f>D14*$F$8</f>
        <v/>
      </c>
      <c r="F14" s="18">
        <f>E14*C14</f>
        <v/>
      </c>
      <c r="G14" s="19">
        <f>F14*$B$8</f>
        <v/>
      </c>
      <c r="H14" s="20">
        <f>IF($F$19=0,0,F14/$F$19)</f>
        <v/>
      </c>
    </row>
    <row r="15">
      <c r="A15" s="15">
        <f>Pricing!A7</f>
        <v/>
      </c>
      <c r="B15" s="10" t="inlineStr">
        <is>
          <t>Y</t>
        </is>
      </c>
      <c r="C15" s="16">
        <f>Pricing!I7</f>
        <v/>
      </c>
      <c r="D15" s="17">
        <f>IF(B15="Y",$B$5*$B$6,0)</f>
        <v/>
      </c>
      <c r="E15" s="17">
        <f>D15*$F$8</f>
        <v/>
      </c>
      <c r="F15" s="18">
        <f>E15*C15</f>
        <v/>
      </c>
      <c r="G15" s="19">
        <f>F15*$B$8</f>
        <v/>
      </c>
      <c r="H15" s="20">
        <f>IF($F$19=0,0,F15/$F$19)</f>
        <v/>
      </c>
    </row>
    <row r="16">
      <c r="A16" s="15">
        <f>Pricing!A8</f>
        <v/>
      </c>
      <c r="B16" s="10" t="inlineStr">
        <is>
          <t>Y</t>
        </is>
      </c>
      <c r="C16" s="16">
        <f>Pricing!I8</f>
        <v/>
      </c>
      <c r="D16" s="17">
        <f>IF(B16="Y",$B$5*$B$6,0)</f>
        <v/>
      </c>
      <c r="E16" s="17">
        <f>D16*$F$8</f>
        <v/>
      </c>
      <c r="F16" s="18">
        <f>E16*C16</f>
        <v/>
      </c>
      <c r="G16" s="19">
        <f>F16*$B$8</f>
        <v/>
      </c>
      <c r="H16" s="20">
        <f>IF($F$19=0,0,F16/$F$19)</f>
        <v/>
      </c>
    </row>
    <row r="17">
      <c r="A17" s="15">
        <f>Pricing!A9</f>
        <v/>
      </c>
      <c r="B17" s="10" t="inlineStr">
        <is>
          <t>N</t>
        </is>
      </c>
      <c r="C17" s="16">
        <f>Pricing!I9</f>
        <v/>
      </c>
      <c r="D17" s="17">
        <f>IF(B17="Y",$B$5*$B$6,0)</f>
        <v/>
      </c>
      <c r="E17" s="17">
        <f>D17*$F$8</f>
        <v/>
      </c>
      <c r="F17" s="18">
        <f>E17*C17</f>
        <v/>
      </c>
      <c r="G17" s="19">
        <f>F17*$B$8</f>
        <v/>
      </c>
      <c r="H17" s="20">
        <f>IF($F$19=0,0,F17/$F$19)</f>
        <v/>
      </c>
    </row>
    <row r="18">
      <c r="A18" s="15">
        <f>Pricing!A10</f>
        <v/>
      </c>
      <c r="B18" s="10" t="inlineStr">
        <is>
          <t>N</t>
        </is>
      </c>
      <c r="C18" s="16">
        <f>Pricing!I10</f>
        <v/>
      </c>
      <c r="D18" s="17">
        <f>IF(B18="Y",$B$5*$B$6,0)</f>
        <v/>
      </c>
      <c r="E18" s="17">
        <f>D18*$F$8</f>
        <v/>
      </c>
      <c r="F18" s="18">
        <f>E18*C18</f>
        <v/>
      </c>
      <c r="G18" s="19">
        <f>F18*$B$8</f>
        <v/>
      </c>
      <c r="H18" s="20">
        <f>IF($F$19=0,0,F18/$F$19)</f>
        <v/>
      </c>
    </row>
    <row r="19">
      <c r="A19" s="21" t="inlineStr">
        <is>
          <t>Total</t>
        </is>
      </c>
      <c r="B19" s="22" t="n"/>
      <c r="C19" s="22" t="n"/>
      <c r="D19" s="23">
        <f>SUM(D13:D18)</f>
        <v/>
      </c>
      <c r="E19" s="23">
        <f>SUM(E13:E18)</f>
        <v/>
      </c>
      <c r="F19" s="24">
        <f>SUM(F13:F18)</f>
        <v/>
      </c>
      <c r="G19" s="25">
        <f>SUM(G13:G18)</f>
        <v/>
      </c>
      <c r="H19" s="26">
        <f>SUM(H13:H18)</f>
        <v/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4" t="inlineStr">
        <is>
          <t>Estimated monthly cost</t>
        </is>
      </c>
      <c r="B21" s="27">
        <f>F19</f>
        <v/>
      </c>
      <c r="C21" s="28">
        <f>G19</f>
        <v/>
      </c>
      <c r="D21" s="2" t="n"/>
      <c r="E21" s="2" t="n"/>
      <c r="F21" s="2" t="n"/>
      <c r="G21" s="2" t="n"/>
      <c r="H21" s="2" t="n"/>
    </row>
    <row r="22">
      <c r="A22" s="2" t="inlineStr">
        <is>
          <t>Cost per prompt per month</t>
        </is>
      </c>
      <c r="B22" s="29">
        <f>IF($B$5=0,0,F19/$B$5)</f>
        <v/>
      </c>
      <c r="C22" s="30">
        <f>IF($B$5=0,0,G19/$B$5)</f>
        <v/>
      </c>
      <c r="D22" s="2" t="n"/>
      <c r="E22" s="2" t="n"/>
      <c r="F22" s="2" t="n"/>
      <c r="G22" s="2" t="n"/>
      <c r="H22" s="2" t="n"/>
    </row>
    <row r="23">
      <c r="A23" s="2" t="inlineStr">
        <is>
          <t>Cost of one full run cycle</t>
        </is>
      </c>
      <c r="B23" s="29">
        <f>SUMPRODUCT(D13:D18,C13:C18)</f>
        <v/>
      </c>
      <c r="C23" s="30">
        <f>B23*$B$8</f>
        <v/>
      </c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4" t="inlineStr">
        <is>
          <t>Frequency comparison (same prompts, runs and platforms)</t>
        </is>
      </c>
      <c r="B26" s="2" t="n"/>
      <c r="C26" s="2" t="n"/>
      <c r="D26" s="2" t="n"/>
      <c r="E26" s="2" t="n"/>
      <c r="F26" s="2" t="n"/>
      <c r="G26" s="2" t="n"/>
      <c r="H26" s="2" t="n"/>
    </row>
    <row r="27">
      <c r="A27" s="14" t="inlineStr">
        <is>
          <t>Frequency</t>
        </is>
      </c>
      <c r="B27" s="14" t="inlineStr">
        <is>
          <t>Run cycles / month</t>
        </is>
      </c>
      <c r="C27" s="14" t="inlineStr">
        <is>
          <t>Calls / month</t>
        </is>
      </c>
      <c r="D27" s="14" t="inlineStr">
        <is>
          <t>Monthly cost ($)</t>
        </is>
      </c>
      <c r="E27" s="14" t="inlineStr">
        <is>
          <t>Monthly cost (£)</t>
        </is>
      </c>
      <c r="F27" s="14" t="inlineStr">
        <is>
          <t>Annual cost ($)</t>
        </is>
      </c>
      <c r="G27" s="2" t="n"/>
      <c r="H27" s="2" t="n"/>
    </row>
    <row r="28">
      <c r="A28" s="8" t="inlineStr">
        <is>
          <t>Daily</t>
        </is>
      </c>
      <c r="B28" s="31">
        <f>F5</f>
        <v/>
      </c>
      <c r="C28" s="17">
        <f>D19*B28</f>
        <v/>
      </c>
      <c r="D28" s="18">
        <f>$B$23*B28</f>
        <v/>
      </c>
      <c r="E28" s="19">
        <f>D28*$B$8</f>
        <v/>
      </c>
      <c r="F28" s="18">
        <f>D28*12</f>
        <v/>
      </c>
      <c r="G28" s="2" t="n"/>
      <c r="H28" s="2" t="n"/>
    </row>
    <row r="29">
      <c r="A29" s="8" t="inlineStr">
        <is>
          <t>Weekly</t>
        </is>
      </c>
      <c r="B29" s="31">
        <f>F6</f>
        <v/>
      </c>
      <c r="C29" s="17">
        <f>D19*B29</f>
        <v/>
      </c>
      <c r="D29" s="18">
        <f>$B$23*B29</f>
        <v/>
      </c>
      <c r="E29" s="19">
        <f>D29*$B$8</f>
        <v/>
      </c>
      <c r="F29" s="18">
        <f>D29*12</f>
        <v/>
      </c>
      <c r="G29" s="2" t="n"/>
      <c r="H29" s="2" t="n"/>
    </row>
    <row r="30">
      <c r="A30" s="8" t="inlineStr">
        <is>
          <t>Monthly</t>
        </is>
      </c>
      <c r="B30" s="31">
        <f>F7</f>
        <v/>
      </c>
      <c r="C30" s="17">
        <f>D19*B30</f>
        <v/>
      </c>
      <c r="D30" s="18">
        <f>$B$23*B30</f>
        <v/>
      </c>
      <c r="E30" s="19">
        <f>D30*$B$8</f>
        <v/>
      </c>
      <c r="F30" s="18">
        <f>D30*12</f>
        <v/>
      </c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4" t="inlineStr">
        <is>
          <t>Formula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32" t="inlineStr">
        <is>
          <t>Monthly cost = Σ over included platforms [ prompts × runs per prompt × run cycles per month × cost per call ]</t>
        </is>
      </c>
      <c r="B34" s="2" t="n"/>
      <c r="C34" s="2" t="n"/>
      <c r="D34" s="2" t="n"/>
      <c r="E34" s="2" t="n"/>
      <c r="F34" s="2" t="n"/>
      <c r="G34" s="2" t="n"/>
      <c r="H34" s="2" t="n"/>
    </row>
    <row r="35">
      <c r="A35" s="32" t="inlineStr">
        <is>
          <t>Cost per call = input tokens × input $/1M ÷ 1,000,000 + output tokens × output $/1M ÷ 1,000,000 + search fee per call</t>
        </is>
      </c>
      <c r="B35" s="2" t="n"/>
      <c r="C35" s="2" t="n"/>
      <c r="D35" s="2" t="n"/>
      <c r="E35" s="2" t="n"/>
      <c r="F35" s="2" t="n"/>
      <c r="G35" s="2" t="n"/>
      <c r="H35" s="2" t="n"/>
    </row>
    <row r="36">
      <c r="A36" s="32" t="inlineStr">
        <is>
          <t>Run cycles per month: Daily = 365/12 ≈ 30.42 · Weekly = 52/12 ≈ 4.33 · Monthly = 1</t>
        </is>
      </c>
      <c r="B36" s="2" t="n"/>
      <c r="C36" s="2" t="n"/>
      <c r="D36" s="2" t="n"/>
      <c r="E36" s="2" t="n"/>
      <c r="F36" s="2" t="n"/>
      <c r="G36" s="2" t="n"/>
      <c r="H36" s="2" t="n"/>
    </row>
    <row r="37">
      <c r="A37" s="32" t="inlineStr">
        <is>
          <t>Excludes: Gemini's 5,000 free grounded requests/month, failed-call retries, prompt generation/sentiment calls, crawl costs, infrastructure.</t>
        </is>
      </c>
      <c r="B37" s="2" t="n"/>
      <c r="C37" s="2" t="n"/>
      <c r="D37" s="2" t="n"/>
      <c r="E37" s="2" t="n"/>
      <c r="F37" s="2" t="n"/>
      <c r="G37" s="2" t="n"/>
      <c r="H37" s="2" t="n"/>
    </row>
  </sheetData>
  <dataValidations count="3">
    <dataValidation sqref="B7" showDropDown="0" showInputMessage="0" showErrorMessage="0" allowBlank="0" type="list">
      <formula1>"Daily,Weekly,Monthly"</formula1>
    </dataValidation>
    <dataValidation sqref="B5 B6" showDropDown="0" showInputMessage="0" showErrorMessage="0" allowBlank="0" type="whole" operator="greaterThanOrEqual">
      <formula1>0</formula1>
    </dataValidation>
    <dataValidation sqref="B13 B14 B15 B16 B17 B18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1" customWidth="1" min="3" max="3"/>
    <col width="13" customWidth="1" min="4" max="4"/>
    <col width="13" customWidth="1" min="5" max="5"/>
    <col width="15" customWidth="1" min="6" max="6"/>
    <col width="13" customWidth="1" min="7" max="7"/>
    <col width="17" customWidth="1" min="8" max="8"/>
    <col width="13" customWidth="1" min="9" max="9"/>
    <col width="70" customWidth="1" min="10" max="10"/>
  </cols>
  <sheetData>
    <row r="1">
      <c r="A1" s="1" t="inlineStr">
        <is>
          <t>Platform pricing &amp; token assumptions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Blue = editable input. Prices checked 13 Oct 2026 from public pricing pages / aggregators — verify before quoting to clients.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4" t="inlineStr">
        <is>
          <t>Platform</t>
        </is>
      </c>
      <c r="B4" s="14" t="inlineStr">
        <is>
          <t>Model / service</t>
        </is>
      </c>
      <c r="C4" s="14" t="inlineStr">
        <is>
          <t>In tool today?</t>
        </is>
      </c>
      <c r="D4" s="14" t="inlineStr">
        <is>
          <t>Input $ / 1M tokens</t>
        </is>
      </c>
      <c r="E4" s="14" t="inlineStr">
        <is>
          <t>Output $ / 1M tokens</t>
        </is>
      </c>
      <c r="F4" s="14" t="inlineStr">
        <is>
          <t>Search / request fee $ per call</t>
        </is>
      </c>
      <c r="G4" s="14" t="inlineStr">
        <is>
          <t>Avg input tokens per call</t>
        </is>
      </c>
      <c r="H4" s="14" t="inlineStr">
        <is>
          <t>Avg output tokens per call (incl. thinking)</t>
        </is>
      </c>
      <c r="I4" s="14" t="inlineStr">
        <is>
          <t>Cost per call ($)</t>
        </is>
      </c>
      <c r="J4" s="14" t="inlineStr">
        <is>
          <t>Source / note</t>
        </is>
      </c>
    </row>
    <row r="5" ht="48" customHeight="1">
      <c r="A5" s="33" t="inlineStr">
        <is>
          <t>ChatGPT</t>
        </is>
      </c>
      <c r="B5" s="33" t="inlineStr">
        <is>
          <t>OpenAI gpt-4o-search-preview + web search</t>
        </is>
      </c>
      <c r="C5" s="33" t="inlineStr">
        <is>
          <t>Yes</t>
        </is>
      </c>
      <c r="D5" s="34" t="n">
        <v>2.5</v>
      </c>
      <c r="E5" s="34" t="n">
        <v>10</v>
      </c>
      <c r="F5" s="35" t="n">
        <v>0.025</v>
      </c>
      <c r="G5" s="36" t="n">
        <v>200</v>
      </c>
      <c r="H5" s="36" t="n">
        <v>900</v>
      </c>
      <c r="I5" s="37">
        <f>G5*D5/1000000+H5*E5/1000000+F5</f>
        <v/>
      </c>
      <c r="J5" s="38" t="inlineStr">
        <is>
          <t>OpenAI model page: $2.50/$10 per 1M; web search preview $25 per 1K calls for non-reasoning models (search content tokens free).</t>
        </is>
      </c>
    </row>
    <row r="6" ht="48" customHeight="1">
      <c r="A6" s="33" t="inlineStr">
        <is>
          <t>Gemini</t>
        </is>
      </c>
      <c r="B6" s="33" t="inlineStr">
        <is>
          <t>Google gemini-3.5-flash + Google Search grounding</t>
        </is>
      </c>
      <c r="C6" s="33" t="inlineStr">
        <is>
          <t>Yes</t>
        </is>
      </c>
      <c r="D6" s="34" t="n">
        <v>1.5</v>
      </c>
      <c r="E6" s="34" t="n">
        <v>9</v>
      </c>
      <c r="F6" s="35" t="n">
        <v>0.014</v>
      </c>
      <c r="G6" s="36" t="n">
        <v>200</v>
      </c>
      <c r="H6" s="36" t="n">
        <v>1500</v>
      </c>
      <c r="I6" s="37">
        <f>G6*D6/1000000+H6*E6/1000000+F6</f>
        <v/>
      </c>
      <c r="J6" s="38" t="inlineStr">
        <is>
          <t>Aggregators (costgoat, pricepertoken): $1.50/$9 per 1M; grounding $14 per 1K grounded queries after 5,000 free/month (free tier ignored = conservative). Thinking tokens bill as output.</t>
        </is>
      </c>
    </row>
    <row r="7" ht="48" customHeight="1">
      <c r="A7" s="33" t="inlineStr">
        <is>
          <t>Claude</t>
        </is>
      </c>
      <c r="B7" s="33" t="inlineStr">
        <is>
          <t>Anthropic claude-haiku-4-5 (no web search)</t>
        </is>
      </c>
      <c r="C7" s="33" t="inlineStr">
        <is>
          <t>Yes</t>
        </is>
      </c>
      <c r="D7" s="34" t="n">
        <v>1</v>
      </c>
      <c r="E7" s="34" t="n">
        <v>5</v>
      </c>
      <c r="F7" s="35" t="n">
        <v>0</v>
      </c>
      <c r="G7" s="36" t="n">
        <v>200</v>
      </c>
      <c r="H7" s="36" t="n">
        <v>900</v>
      </c>
      <c r="I7" s="37">
        <f>G7*D7/1000000+H7*E7/1000000+F7</f>
        <v/>
      </c>
      <c r="J7" s="38" t="inlineStr">
        <is>
          <t>Anthropic API pricing: Haiku 4.5 $1/$5 per 1M. Tool sends no web search, so no per-call fee.</t>
        </is>
      </c>
    </row>
    <row r="8" ht="48" customHeight="1">
      <c r="A8" s="33" t="inlineStr">
        <is>
          <t>Google AI Overviews (simulated)</t>
        </is>
      </c>
      <c r="B8" s="33" t="inlineStr">
        <is>
          <t>Google gemini-3.6-flash grounded (tool's AIO simulation)</t>
        </is>
      </c>
      <c r="C8" s="33" t="inlineStr">
        <is>
          <t>Yes</t>
        </is>
      </c>
      <c r="D8" s="34" t="n">
        <v>1.5</v>
      </c>
      <c r="E8" s="34" t="n">
        <v>9</v>
      </c>
      <c r="F8" s="35" t="n">
        <v>0.014</v>
      </c>
      <c r="G8" s="36" t="n">
        <v>250</v>
      </c>
      <c r="H8" s="36" t="n">
        <v>1500</v>
      </c>
      <c r="I8" s="37">
        <f>G8*D8/1000000+H8*E8/1000000+F8</f>
        <v/>
      </c>
      <c r="J8" s="38" t="inlineStr">
        <is>
          <t>Tool simulates AIO with a grounded Gemini Flash call (backend/google_aio.py). 3.6 Flash rate assumed equal to 3.5 Flash — verify.</t>
        </is>
      </c>
    </row>
    <row r="9" ht="48" customHeight="1">
      <c r="A9" s="33" t="inlineStr">
        <is>
          <t>Perplexity (optional)</t>
        </is>
      </c>
      <c r="B9" s="33" t="inlineStr">
        <is>
          <t>Perplexity Sonar API, low search context</t>
        </is>
      </c>
      <c r="C9" s="33" t="inlineStr">
        <is>
          <t>No</t>
        </is>
      </c>
      <c r="D9" s="34" t="n">
        <v>1</v>
      </c>
      <c r="E9" s="34" t="n">
        <v>1</v>
      </c>
      <c r="F9" s="35" t="n">
        <v>0.005</v>
      </c>
      <c r="G9" s="36" t="n">
        <v>200</v>
      </c>
      <c r="H9" s="36" t="n">
        <v>700</v>
      </c>
      <c r="I9" s="37">
        <f>G9*D9/1000000+H9*E9/1000000+F9</f>
        <v/>
      </c>
      <c r="J9" s="38" t="inlineStr">
        <is>
          <t>Sonar $1/$1 per 1M + $5 per 1K requests (low context). Not called by the tool today.</t>
        </is>
      </c>
    </row>
    <row r="10" ht="48" customHeight="1">
      <c r="A10" s="33" t="inlineStr">
        <is>
          <t>Real Google AIO (optional)</t>
        </is>
      </c>
      <c r="B10" s="33" t="inlineStr">
        <is>
          <t>SERP API (e.g. SerpApi) Google results incl. AI Overview</t>
        </is>
      </c>
      <c r="C10" s="33" t="inlineStr">
        <is>
          <t>No</t>
        </is>
      </c>
      <c r="D10" s="34" t="n">
        <v>0</v>
      </c>
      <c r="E10" s="34" t="n">
        <v>0</v>
      </c>
      <c r="F10" s="35" t="n">
        <v>0.015</v>
      </c>
      <c r="G10" s="36" t="n">
        <v>0</v>
      </c>
      <c r="H10" s="36" t="n">
        <v>0</v>
      </c>
      <c r="I10" s="37">
        <f>G10*D10/1000000+H10*E10/1000000+F10</f>
        <v/>
      </c>
      <c r="J10" s="38" t="inlineStr">
        <is>
          <t>Subscription-based; ~$0.009-$0.025 per search depending on plan ($0.015 ≈ mid plan). Not called by the tool today.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4" t="inlineStr">
        <is>
          <t>Cost per call = input tokens × input price / 1,000,000 + output tokens × output price / 1,000,000 + search fee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3" t="inlineStr">
        <is>
          <t>Token averages are estimates (prompt ≈ 150-250 tokens; replies capped at 1,800 tokens for OpenAI/Claude and 8,192 for Gemini in the tool). Replace with real usage logs when available.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Scenario matrix — monthly cost ($) by prompt count and frequency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Uses the platforms ticked on Estimator. Runs per prompt below (yellow) can differ from Estimator.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inlineStr">
        <is>
          <t>Runs per prompt</t>
        </is>
      </c>
      <c r="B4" s="39">
        <f>Estimator!B6</f>
        <v/>
      </c>
      <c r="C4" s="7" t="inlineStr">
        <is>
          <t>Overwrite with a number to model a different run count.</t>
        </is>
      </c>
      <c r="D4" s="2" t="n"/>
      <c r="E4" s="2" t="n"/>
      <c r="F4" s="2" t="n"/>
      <c r="G4" s="2" t="n"/>
    </row>
    <row r="5">
      <c r="A5" s="2" t="inlineStr">
        <is>
          <t>Cost of 1 call on every ticked platform ($)</t>
        </is>
      </c>
      <c r="B5" s="40">
        <f>SUMPRODUCT(--(Estimator!B13:B18="Y"),Estimator!C13:C18)</f>
        <v/>
      </c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14" t="inlineStr">
        <is>
          <t>Prompts</t>
        </is>
      </c>
      <c r="B7" s="14" t="inlineStr">
        <is>
          <t>Daily ($/mo)</t>
        </is>
      </c>
      <c r="C7" s="14" t="inlineStr">
        <is>
          <t>Weekly ($/mo)</t>
        </is>
      </c>
      <c r="D7" s="14" t="inlineStr">
        <is>
          <t>Monthly ($/mo)</t>
        </is>
      </c>
      <c r="E7" s="14" t="inlineStr">
        <is>
          <t>Daily (£/mo)</t>
        </is>
      </c>
      <c r="F7" s="14" t="inlineStr">
        <is>
          <t>Weekly (£/mo)</t>
        </is>
      </c>
      <c r="G7" s="14" t="inlineStr">
        <is>
          <t>Monthly (£/mo)</t>
        </is>
      </c>
    </row>
    <row r="8">
      <c r="A8" s="36" t="n">
        <v>10</v>
      </c>
      <c r="B8" s="18">
        <f>$A8*$B$4*$B$5*Estimator!$F$5</f>
        <v/>
      </c>
      <c r="C8" s="18">
        <f>$A8*$B$4*$B$5*Estimator!$F$6</f>
        <v/>
      </c>
      <c r="D8" s="18">
        <f>$A8*$B$4*$B$5*Estimator!$F$7</f>
        <v/>
      </c>
      <c r="E8" s="19">
        <f>B8*Estimator!$B$8</f>
        <v/>
      </c>
      <c r="F8" s="19">
        <f>C8*Estimator!$B$8</f>
        <v/>
      </c>
      <c r="G8" s="19">
        <f>D8*Estimator!$B$8</f>
        <v/>
      </c>
    </row>
    <row r="9">
      <c r="A9" s="36" t="n">
        <v>25</v>
      </c>
      <c r="B9" s="18">
        <f>$A9*$B$4*$B$5*Estimator!$F$5</f>
        <v/>
      </c>
      <c r="C9" s="18">
        <f>$A9*$B$4*$B$5*Estimator!$F$6</f>
        <v/>
      </c>
      <c r="D9" s="18">
        <f>$A9*$B$4*$B$5*Estimator!$F$7</f>
        <v/>
      </c>
      <c r="E9" s="19">
        <f>B9*Estimator!$B$8</f>
        <v/>
      </c>
      <c r="F9" s="19">
        <f>C9*Estimator!$B$8</f>
        <v/>
      </c>
      <c r="G9" s="19">
        <f>D9*Estimator!$B$8</f>
        <v/>
      </c>
    </row>
    <row r="10">
      <c r="A10" s="36" t="n">
        <v>50</v>
      </c>
      <c r="B10" s="18">
        <f>$A10*$B$4*$B$5*Estimator!$F$5</f>
        <v/>
      </c>
      <c r="C10" s="18">
        <f>$A10*$B$4*$B$5*Estimator!$F$6</f>
        <v/>
      </c>
      <c r="D10" s="18">
        <f>$A10*$B$4*$B$5*Estimator!$F$7</f>
        <v/>
      </c>
      <c r="E10" s="19">
        <f>B10*Estimator!$B$8</f>
        <v/>
      </c>
      <c r="F10" s="19">
        <f>C10*Estimator!$B$8</f>
        <v/>
      </c>
      <c r="G10" s="19">
        <f>D10*Estimator!$B$8</f>
        <v/>
      </c>
    </row>
    <row r="11">
      <c r="A11" s="36" t="n">
        <v>80</v>
      </c>
      <c r="B11" s="18">
        <f>$A11*$B$4*$B$5*Estimator!$F$5</f>
        <v/>
      </c>
      <c r="C11" s="18">
        <f>$A11*$B$4*$B$5*Estimator!$F$6</f>
        <v/>
      </c>
      <c r="D11" s="18">
        <f>$A11*$B$4*$B$5*Estimator!$F$7</f>
        <v/>
      </c>
      <c r="E11" s="19">
        <f>B11*Estimator!$B$8</f>
        <v/>
      </c>
      <c r="F11" s="19">
        <f>C11*Estimator!$B$8</f>
        <v/>
      </c>
      <c r="G11" s="19">
        <f>D11*Estimator!$B$8</f>
        <v/>
      </c>
    </row>
    <row r="12">
      <c r="A12" s="36" t="n">
        <v>100</v>
      </c>
      <c r="B12" s="18">
        <f>$A12*$B$4*$B$5*Estimator!$F$5</f>
        <v/>
      </c>
      <c r="C12" s="18">
        <f>$A12*$B$4*$B$5*Estimator!$F$6</f>
        <v/>
      </c>
      <c r="D12" s="18">
        <f>$A12*$B$4*$B$5*Estimator!$F$7</f>
        <v/>
      </c>
      <c r="E12" s="19">
        <f>B12*Estimator!$B$8</f>
        <v/>
      </c>
      <c r="F12" s="19">
        <f>C12*Estimator!$B$8</f>
        <v/>
      </c>
      <c r="G12" s="19">
        <f>D12*Estimator!$B$8</f>
        <v/>
      </c>
    </row>
    <row r="13">
      <c r="A13" s="36" t="n">
        <v>200</v>
      </c>
      <c r="B13" s="18">
        <f>$A13*$B$4*$B$5*Estimator!$F$5</f>
        <v/>
      </c>
      <c r="C13" s="18">
        <f>$A13*$B$4*$B$5*Estimator!$F$6</f>
        <v/>
      </c>
      <c r="D13" s="18">
        <f>$A13*$B$4*$B$5*Estimator!$F$7</f>
        <v/>
      </c>
      <c r="E13" s="19">
        <f>B13*Estimator!$B$8</f>
        <v/>
      </c>
      <c r="F13" s="19">
        <f>C13*Estimator!$B$8</f>
        <v/>
      </c>
      <c r="G13" s="19">
        <f>D13*Estimator!$B$8</f>
        <v/>
      </c>
    </row>
    <row r="14">
      <c r="A14" s="36" t="n">
        <v>500</v>
      </c>
      <c r="B14" s="18">
        <f>$A14*$B$4*$B$5*Estimator!$F$5</f>
        <v/>
      </c>
      <c r="C14" s="18">
        <f>$A14*$B$4*$B$5*Estimator!$F$6</f>
        <v/>
      </c>
      <c r="D14" s="18">
        <f>$A14*$B$4*$B$5*Estimator!$F$7</f>
        <v/>
      </c>
      <c r="E14" s="19">
        <f>B14*Estimator!$B$8</f>
        <v/>
      </c>
      <c r="F14" s="19">
        <f>C14*Estimator!$B$8</f>
        <v/>
      </c>
      <c r="G14" s="19">
        <f>D14*Estimator!$B$8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2" customWidth="1" min="1" max="1"/>
    <col width="85" customWidth="1" min="2" max="2"/>
  </cols>
  <sheetData>
    <row r="1">
      <c r="A1" s="1" t="inlineStr">
        <is>
          <t>Sources (checked 13 Oct 2026)</t>
        </is>
      </c>
      <c r="B1" s="2" t="n"/>
    </row>
    <row r="2">
      <c r="A2" s="2" t="n"/>
      <c r="B2" s="2" t="n"/>
    </row>
    <row r="3">
      <c r="A3" s="5" t="inlineStr">
        <is>
          <t>OpenAI gpt-4o-search-preview model page</t>
        </is>
      </c>
      <c r="B3" s="41" t="inlineStr">
        <is>
          <t>https://platform.openai.com/docs/models/gpt-4o-search-preview</t>
        </is>
      </c>
    </row>
    <row r="4">
      <c r="A4" s="5" t="inlineStr">
        <is>
          <t>OpenAI pricing (verify web search per-call fee)</t>
        </is>
      </c>
      <c r="B4" s="41" t="inlineStr">
        <is>
          <t>https://developers.openai.com/api/docs/pricing</t>
        </is>
      </c>
    </row>
    <row r="5">
      <c r="A5" s="5" t="inlineStr">
        <is>
          <t>Gemini API pricing aggregator (3.5 Flash, grounding)</t>
        </is>
      </c>
      <c r="B5" s="41" t="inlineStr">
        <is>
          <t>https://costgoat.com/pricing/gemini-api</t>
        </is>
      </c>
    </row>
    <row r="6">
      <c r="A6" s="5" t="inlineStr">
        <is>
          <t>Gemini 3.5 Flash pricing aggregator</t>
        </is>
      </c>
      <c r="B6" s="41" t="inlineStr">
        <is>
          <t>https://pricepertoken.com/pricing-page/model/google-gemini-3.5-flash</t>
        </is>
      </c>
    </row>
    <row r="7">
      <c r="A7" s="5" t="inlineStr">
        <is>
          <t>Google Cloud grounding pricing</t>
        </is>
      </c>
      <c r="B7" s="41" t="inlineStr">
        <is>
          <t>https://cloud.google.com/gemini-enterprise-agent-platform/generative-ai/pricing</t>
        </is>
      </c>
    </row>
    <row r="8">
      <c r="A8" s="5" t="inlineStr">
        <is>
          <t>Anthropic Claude Haiku 4.5 pricing</t>
        </is>
      </c>
      <c r="B8" s="41" t="inlineStr">
        <is>
          <t>https://www.anthropic.com/pricing</t>
        </is>
      </c>
    </row>
    <row r="9">
      <c r="A9" s="5" t="inlineStr">
        <is>
          <t>Perplexity Sonar pricing summary</t>
        </is>
      </c>
      <c r="B9" s="41" t="inlineStr">
        <is>
          <t>https://keirolabs.cloud/blog/perplexity-sonar-api-pricing-2026</t>
        </is>
      </c>
    </row>
    <row r="10">
      <c r="A10" s="5" t="inlineStr">
        <is>
          <t>SerpApi pricing estimate</t>
        </is>
      </c>
      <c r="B10" s="41" t="inlineStr">
        <is>
          <t>https://www.buildmvpfast.com/tools/api-pricing-estimator/serpapi</t>
        </is>
      </c>
    </row>
    <row r="11">
      <c r="A11" s="5" t="inlineStr">
        <is>
          <t>Tool code: models + runs</t>
        </is>
      </c>
      <c r="B11" s="42" t="inlineStr">
        <is>
          <t>backend/prompt_suggest.py, backend/google_aio.py, api/probe_history.py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2026-10-13T15:04:52Z</dcterms:created>
  <dcterms:modified xmlns:dcterms="http://purl.org/dc/terms/" xmlns:xsi="http://www.w3.org/2001/XMLSchema-instance" xsi:type="dcterms:W3CDTF">2026-10-13T15:04:52Z</dcterms:modified>
</cp:coreProperties>
</file>